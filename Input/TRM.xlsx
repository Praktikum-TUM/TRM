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bas\Desktop\"/>
    </mc:Choice>
  </mc:AlternateContent>
  <xr:revisionPtr revIDLastSave="0" documentId="8_{24525967-E043-4731-9DC4-1C3597C6D5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4.1.1" sheetId="1" r:id="rId1"/>
    <sheet name="4.1.2" sheetId="2" r:id="rId2"/>
    <sheet name="4.1.3" sheetId="3" r:id="rId3"/>
    <sheet name="4.2.4" sheetId="4" r:id="rId4"/>
    <sheet name="4.2.5" sheetId="5" r:id="rId5"/>
    <sheet name="4.2.6" sheetId="6" r:id="rId6"/>
    <sheet name="4.2.7" sheetId="7" r:id="rId7"/>
    <sheet name="4.2.9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7" l="1"/>
  <c r="D7" i="7"/>
  <c r="C6" i="7"/>
  <c r="D6" i="7" s="1"/>
  <c r="D4" i="7"/>
  <c r="D3" i="7"/>
  <c r="D2" i="7"/>
  <c r="C2" i="5"/>
  <c r="A2" i="5"/>
  <c r="L4" i="3"/>
</calcChain>
</file>

<file path=xl/sharedStrings.xml><?xml version="1.0" encoding="utf-8"?>
<sst xmlns="http://schemas.openxmlformats.org/spreadsheetml/2006/main" count="79" uniqueCount="72">
  <si>
    <t>Grad</t>
  </si>
  <si>
    <t>Drehmoment in N</t>
  </si>
  <si>
    <t>Abstand</t>
  </si>
  <si>
    <t>15,5cm</t>
  </si>
  <si>
    <t>Abstand in cm</t>
  </si>
  <si>
    <t>Halbeschwingung</t>
  </si>
  <si>
    <t>Rundes gewicht</t>
  </si>
  <si>
    <t>Kein gewicht</t>
  </si>
  <si>
    <t>Gewicht</t>
  </si>
  <si>
    <t>Gewicht für beide:</t>
  </si>
  <si>
    <t>97,4 g</t>
  </si>
  <si>
    <t>Nr.</t>
  </si>
  <si>
    <t>Breite</t>
  </si>
  <si>
    <t>2,7cm</t>
  </si>
  <si>
    <t>Höhe</t>
  </si>
  <si>
    <t>0,5cm</t>
  </si>
  <si>
    <t>Körperhaltung</t>
  </si>
  <si>
    <t>Haltung 1</t>
  </si>
  <si>
    <t>Haltung 2</t>
  </si>
  <si>
    <t>Gerade</t>
  </si>
  <si>
    <t xml:space="preserve">Länge </t>
  </si>
  <si>
    <t>32 cm</t>
  </si>
  <si>
    <t>32cm</t>
  </si>
  <si>
    <t>Puppe</t>
  </si>
  <si>
    <t>Arme</t>
  </si>
  <si>
    <t>Durchmesser</t>
  </si>
  <si>
    <t>5,5cm</t>
  </si>
  <si>
    <t>3 cm</t>
  </si>
  <si>
    <t>Stab</t>
  </si>
  <si>
    <t>Armbreite</t>
  </si>
  <si>
    <t>Gesamt</t>
  </si>
  <si>
    <t>Notizen:</t>
  </si>
  <si>
    <t>Drehteller 3</t>
  </si>
  <si>
    <t>Positiv in Uhrzeigersinn</t>
  </si>
  <si>
    <t>Zeit</t>
  </si>
  <si>
    <t>Schwingungen</t>
  </si>
  <si>
    <t>Mittelwert</t>
  </si>
  <si>
    <t>Notizen</t>
  </si>
  <si>
    <t xml:space="preserve">Durchmesser </t>
  </si>
  <si>
    <t>60cm</t>
  </si>
  <si>
    <t xml:space="preserve">Material </t>
  </si>
  <si>
    <t>Aluminum</t>
  </si>
  <si>
    <t xml:space="preserve">2,7 g/cm^3 </t>
  </si>
  <si>
    <t>Dicke</t>
  </si>
  <si>
    <t>2cm</t>
  </si>
  <si>
    <t xml:space="preserve">Ungefähr </t>
  </si>
  <si>
    <t>17,3 kg?</t>
  </si>
  <si>
    <t>Stange plus platte</t>
  </si>
  <si>
    <t>Zylinder höhe</t>
  </si>
  <si>
    <t>75 cm</t>
  </si>
  <si>
    <t>Stab vernachlässigen, liegt auf der drehachse</t>
  </si>
  <si>
    <t>Zylinder Durchmesser</t>
  </si>
  <si>
    <t>2,5cm</t>
  </si>
  <si>
    <t xml:space="preserve">Stab  Durchmesser </t>
  </si>
  <si>
    <t>Stab Länge</t>
  </si>
  <si>
    <t>20cm</t>
  </si>
  <si>
    <t>Schwingungsdauer</t>
  </si>
  <si>
    <t>Position 1 Gerade</t>
  </si>
  <si>
    <t>Position 2 Arme</t>
  </si>
  <si>
    <t>Kopf umfang</t>
  </si>
  <si>
    <t xml:space="preserve">K-opf länge </t>
  </si>
  <si>
    <t>22cm</t>
  </si>
  <si>
    <t>Rumpf</t>
  </si>
  <si>
    <t>Oberarm</t>
  </si>
  <si>
    <t>32*30</t>
  </si>
  <si>
    <t>Unterarm</t>
  </si>
  <si>
    <t>47*18</t>
  </si>
  <si>
    <t>Größe</t>
  </si>
  <si>
    <t>Oberschenkel</t>
  </si>
  <si>
    <t>38*43</t>
  </si>
  <si>
    <t>Unterschenkle</t>
  </si>
  <si>
    <t>47*32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</si>
</sst>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tabSelected="1" workbookViewId="0"/>
  </sheetViews>
  <sheetFormatPr baseColWidth="10" defaultColWidth="12.6328125" defaultRowHeight="15.75" customHeight="1" x14ac:dyDescent="0.25"/>
  <cols>
    <col min="2" max="2" width="14.36328125" customWidth="1"/>
  </cols>
  <sheetData>
    <row r="1" spans="1:5" ht="15.75" customHeight="1" x14ac:dyDescent="0.25">
      <c r="A1" s="1" t="s">
        <v>0</v>
      </c>
      <c r="B1" s="1" t="s">
        <v>1</v>
      </c>
      <c r="D1" s="1" t="s">
        <v>2</v>
      </c>
      <c r="E1" s="1" t="s">
        <v>3</v>
      </c>
    </row>
    <row r="2" spans="1:5" ht="15.75" customHeight="1" x14ac:dyDescent="0.25">
      <c r="A2" s="1">
        <v>-180</v>
      </c>
      <c r="B2" s="1">
        <v>0.44</v>
      </c>
    </row>
    <row r="3" spans="1:5" ht="15.75" customHeight="1" x14ac:dyDescent="0.25">
      <c r="A3" s="1">
        <v>-135</v>
      </c>
      <c r="B3" s="1">
        <v>0.35</v>
      </c>
    </row>
    <row r="4" spans="1:5" ht="15.75" customHeight="1" x14ac:dyDescent="0.25">
      <c r="A4" s="1">
        <v>-90</v>
      </c>
      <c r="B4" s="1">
        <v>0.23</v>
      </c>
    </row>
    <row r="5" spans="1:5" ht="15.75" customHeight="1" x14ac:dyDescent="0.25">
      <c r="A5" s="1">
        <v>-45</v>
      </c>
      <c r="B5" s="1">
        <v>0.14000000000000001</v>
      </c>
    </row>
    <row r="6" spans="1:5" ht="15.75" customHeight="1" x14ac:dyDescent="0.25">
      <c r="A6" s="1">
        <v>0</v>
      </c>
      <c r="B6" s="1">
        <v>0</v>
      </c>
    </row>
    <row r="7" spans="1:5" ht="15.75" customHeight="1" x14ac:dyDescent="0.25">
      <c r="A7" s="1">
        <v>45</v>
      </c>
      <c r="B7" s="1">
        <v>0.17</v>
      </c>
    </row>
    <row r="8" spans="1:5" ht="15.75" customHeight="1" x14ac:dyDescent="0.25">
      <c r="A8" s="1">
        <v>90</v>
      </c>
      <c r="B8" s="1">
        <v>0.28999999999999998</v>
      </c>
    </row>
    <row r="9" spans="1:5" ht="15.75" customHeight="1" x14ac:dyDescent="0.25">
      <c r="A9" s="1">
        <v>135</v>
      </c>
      <c r="B9" s="1">
        <v>0.4</v>
      </c>
    </row>
    <row r="10" spans="1:5" ht="15.75" customHeight="1" x14ac:dyDescent="0.25">
      <c r="A10" s="1">
        <v>180</v>
      </c>
      <c r="B10" s="1">
        <v>0.52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6"/>
  <sheetViews>
    <sheetView workbookViewId="0"/>
  </sheetViews>
  <sheetFormatPr baseColWidth="10" defaultColWidth="12.6328125" defaultRowHeight="15.75" customHeight="1" x14ac:dyDescent="0.25"/>
  <cols>
    <col min="7" max="7" width="17.7265625" customWidth="1"/>
    <col min="8" max="8" width="19.36328125" customWidth="1"/>
  </cols>
  <sheetData>
    <row r="1" spans="1:8" ht="15.75" customHeight="1" x14ac:dyDescent="0.25">
      <c r="B1" s="1" t="s">
        <v>4</v>
      </c>
      <c r="C1" s="1">
        <v>90</v>
      </c>
      <c r="D1" s="1">
        <v>135</v>
      </c>
      <c r="G1" s="1" t="s">
        <v>5</v>
      </c>
      <c r="H1" s="1" t="s">
        <v>6</v>
      </c>
    </row>
    <row r="2" spans="1:8" ht="15.75" customHeight="1" x14ac:dyDescent="0.25">
      <c r="A2" s="1" t="s">
        <v>7</v>
      </c>
      <c r="B2" s="1">
        <v>0</v>
      </c>
      <c r="C2" s="1">
        <v>0.36399999999999999</v>
      </c>
      <c r="D2" s="1">
        <v>0.36299999999999999</v>
      </c>
    </row>
    <row r="3" spans="1:8" ht="15.75" customHeight="1" x14ac:dyDescent="0.25">
      <c r="A3" s="1" t="s">
        <v>8</v>
      </c>
      <c r="B3" s="1">
        <v>5</v>
      </c>
      <c r="C3" s="1">
        <v>0.48499999999999999</v>
      </c>
      <c r="D3" s="1">
        <v>0.48299999999999998</v>
      </c>
      <c r="G3" s="1" t="s">
        <v>9</v>
      </c>
      <c r="H3" s="1" t="s">
        <v>10</v>
      </c>
    </row>
    <row r="4" spans="1:8" ht="15.75" customHeight="1" x14ac:dyDescent="0.25">
      <c r="B4" s="1">
        <v>10</v>
      </c>
      <c r="C4" s="1">
        <v>0.74099999999999999</v>
      </c>
      <c r="D4" s="1">
        <v>0.73799999999999999</v>
      </c>
      <c r="G4" s="1" t="s">
        <v>11</v>
      </c>
      <c r="H4" s="1">
        <v>2</v>
      </c>
    </row>
    <row r="5" spans="1:8" ht="15.75" customHeight="1" x14ac:dyDescent="0.25">
      <c r="B5" s="1">
        <v>15</v>
      </c>
      <c r="C5" s="1">
        <v>1.012</v>
      </c>
      <c r="D5" s="1">
        <v>1</v>
      </c>
      <c r="G5" s="1" t="s">
        <v>12</v>
      </c>
      <c r="H5" s="1" t="s">
        <v>13</v>
      </c>
    </row>
    <row r="6" spans="1:8" ht="15.75" customHeight="1" x14ac:dyDescent="0.25">
      <c r="B6" s="1">
        <v>20</v>
      </c>
      <c r="C6" s="1">
        <v>1.321</v>
      </c>
      <c r="D6" s="1">
        <v>1.321</v>
      </c>
      <c r="G6" s="1" t="s">
        <v>14</v>
      </c>
      <c r="H6" s="1" t="s">
        <v>15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4"/>
  <sheetViews>
    <sheetView workbookViewId="0"/>
  </sheetViews>
  <sheetFormatPr baseColWidth="10" defaultColWidth="12.6328125" defaultRowHeight="15.75" customHeight="1" x14ac:dyDescent="0.25"/>
  <sheetData>
    <row r="1" spans="1:12" ht="15.75" customHeight="1" x14ac:dyDescent="0.25">
      <c r="A1" s="1" t="s">
        <v>16</v>
      </c>
      <c r="B1" s="1">
        <v>90</v>
      </c>
      <c r="C1" s="1">
        <v>135</v>
      </c>
      <c r="H1" s="1" t="s">
        <v>17</v>
      </c>
      <c r="I1" s="1" t="s">
        <v>18</v>
      </c>
      <c r="L1" s="1" t="s">
        <v>8</v>
      </c>
    </row>
    <row r="2" spans="1:12" ht="15.75" customHeight="1" x14ac:dyDescent="0.25">
      <c r="A2" s="1" t="s">
        <v>19</v>
      </c>
      <c r="B2" s="1">
        <v>0.40500000000000003</v>
      </c>
      <c r="C2" s="1">
        <v>0.40500000000000003</v>
      </c>
      <c r="G2" s="1" t="s">
        <v>20</v>
      </c>
      <c r="H2" s="1" t="s">
        <v>21</v>
      </c>
      <c r="I2" s="1" t="s">
        <v>22</v>
      </c>
      <c r="K2" s="1" t="s">
        <v>23</v>
      </c>
      <c r="L2" s="1">
        <v>183</v>
      </c>
    </row>
    <row r="3" spans="1:12" ht="15.75" customHeight="1" x14ac:dyDescent="0.25">
      <c r="A3" s="1" t="s">
        <v>24</v>
      </c>
      <c r="B3" s="1">
        <v>0.5</v>
      </c>
      <c r="C3" s="1">
        <v>0.496</v>
      </c>
      <c r="G3" s="1" t="s">
        <v>25</v>
      </c>
      <c r="H3" s="1" t="s">
        <v>26</v>
      </c>
      <c r="I3" s="1" t="s">
        <v>27</v>
      </c>
      <c r="K3" s="1" t="s">
        <v>28</v>
      </c>
      <c r="L3" s="1">
        <v>45.2</v>
      </c>
    </row>
    <row r="4" spans="1:12" ht="15.75" customHeight="1" x14ac:dyDescent="0.25">
      <c r="G4" s="1" t="s">
        <v>29</v>
      </c>
      <c r="I4" s="1" t="s">
        <v>21</v>
      </c>
      <c r="K4" s="1" t="s">
        <v>30</v>
      </c>
      <c r="L4" s="2">
        <f>SUM(L2:L3)</f>
        <v>228.2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0"/>
  <sheetViews>
    <sheetView workbookViewId="0"/>
  </sheetViews>
  <sheetFormatPr baseColWidth="10" defaultColWidth="12.6328125" defaultRowHeight="15.75" customHeight="1" x14ac:dyDescent="0.25"/>
  <cols>
    <col min="2" max="2" width="14.90625" customWidth="1"/>
    <col min="7" max="7" width="19" customWidth="1"/>
  </cols>
  <sheetData>
    <row r="1" spans="1:7" ht="15.75" customHeight="1" x14ac:dyDescent="0.25">
      <c r="A1" s="1" t="s">
        <v>0</v>
      </c>
      <c r="B1" s="1" t="s">
        <v>1</v>
      </c>
      <c r="G1" s="1" t="s">
        <v>31</v>
      </c>
    </row>
    <row r="2" spans="1:7" ht="15.75" customHeight="1" x14ac:dyDescent="0.25">
      <c r="A2" s="1">
        <v>-90</v>
      </c>
      <c r="B2" s="1">
        <v>13.5</v>
      </c>
      <c r="G2" s="1" t="s">
        <v>32</v>
      </c>
    </row>
    <row r="3" spans="1:7" ht="15.75" customHeight="1" x14ac:dyDescent="0.25">
      <c r="A3" s="1">
        <v>-80</v>
      </c>
      <c r="B3" s="1">
        <v>12.5</v>
      </c>
      <c r="G3" s="1" t="s">
        <v>33</v>
      </c>
    </row>
    <row r="4" spans="1:7" ht="15.75" customHeight="1" x14ac:dyDescent="0.25">
      <c r="A4" s="1">
        <v>-70</v>
      </c>
      <c r="B4" s="1">
        <v>10.5</v>
      </c>
    </row>
    <row r="5" spans="1:7" ht="15.75" customHeight="1" x14ac:dyDescent="0.25">
      <c r="A5" s="1">
        <v>-60</v>
      </c>
      <c r="B5" s="1">
        <v>9.8000000000000007</v>
      </c>
    </row>
    <row r="6" spans="1:7" ht="15.75" customHeight="1" x14ac:dyDescent="0.25">
      <c r="A6" s="1">
        <v>-50</v>
      </c>
      <c r="B6" s="1">
        <v>7.9</v>
      </c>
    </row>
    <row r="7" spans="1:7" ht="15.75" customHeight="1" x14ac:dyDescent="0.25">
      <c r="A7" s="1">
        <v>-40</v>
      </c>
      <c r="B7" s="1">
        <v>6.4</v>
      </c>
    </row>
    <row r="8" spans="1:7" ht="15.75" customHeight="1" x14ac:dyDescent="0.25">
      <c r="A8" s="1">
        <v>-30</v>
      </c>
      <c r="B8" s="1">
        <v>4.7</v>
      </c>
    </row>
    <row r="9" spans="1:7" ht="15.75" customHeight="1" x14ac:dyDescent="0.25">
      <c r="A9" s="1">
        <v>-20</v>
      </c>
      <c r="B9" s="1">
        <v>3.5</v>
      </c>
    </row>
    <row r="10" spans="1:7" ht="15.75" customHeight="1" x14ac:dyDescent="0.25">
      <c r="A10" s="1">
        <v>-10</v>
      </c>
      <c r="B10" s="1">
        <v>1.8</v>
      </c>
    </row>
    <row r="11" spans="1:7" ht="15.75" customHeight="1" x14ac:dyDescent="0.25">
      <c r="A11" s="1">
        <v>0</v>
      </c>
      <c r="B11" s="1">
        <v>0</v>
      </c>
    </row>
    <row r="12" spans="1:7" ht="15.75" customHeight="1" x14ac:dyDescent="0.25">
      <c r="A12" s="1">
        <v>10</v>
      </c>
      <c r="B12" s="1">
        <v>1.6</v>
      </c>
    </row>
    <row r="13" spans="1:7" ht="15.75" customHeight="1" x14ac:dyDescent="0.25">
      <c r="A13" s="1">
        <v>20</v>
      </c>
      <c r="B13" s="1">
        <v>2.5</v>
      </c>
    </row>
    <row r="14" spans="1:7" ht="15.75" customHeight="1" x14ac:dyDescent="0.25">
      <c r="A14" s="1">
        <v>30</v>
      </c>
      <c r="B14" s="1">
        <v>3.2</v>
      </c>
    </row>
    <row r="15" spans="1:7" ht="15.75" customHeight="1" x14ac:dyDescent="0.25">
      <c r="A15" s="1">
        <v>40</v>
      </c>
      <c r="B15" s="1">
        <v>4</v>
      </c>
    </row>
    <row r="16" spans="1:7" ht="15.75" customHeight="1" x14ac:dyDescent="0.25">
      <c r="A16" s="1">
        <v>50</v>
      </c>
      <c r="B16" s="1">
        <v>5.5</v>
      </c>
    </row>
    <row r="17" spans="1:2" ht="15.75" customHeight="1" x14ac:dyDescent="0.25">
      <c r="A17" s="1">
        <v>60</v>
      </c>
      <c r="B17" s="1">
        <v>7</v>
      </c>
    </row>
    <row r="18" spans="1:2" ht="15.75" customHeight="1" x14ac:dyDescent="0.25">
      <c r="A18" s="1">
        <v>70</v>
      </c>
      <c r="B18" s="1">
        <v>7.8</v>
      </c>
    </row>
    <row r="19" spans="1:2" ht="15.75" customHeight="1" x14ac:dyDescent="0.25">
      <c r="A19" s="1">
        <v>80</v>
      </c>
      <c r="B19" s="1">
        <v>9.5</v>
      </c>
    </row>
    <row r="20" spans="1:2" ht="15.75" customHeight="1" x14ac:dyDescent="0.25">
      <c r="A20" s="1">
        <v>90</v>
      </c>
      <c r="B20" s="1">
        <v>10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2"/>
  <sheetViews>
    <sheetView workbookViewId="0"/>
  </sheetViews>
  <sheetFormatPr baseColWidth="10" defaultColWidth="12.6328125" defaultRowHeight="15.75" customHeight="1" x14ac:dyDescent="0.25"/>
  <sheetData>
    <row r="1" spans="1:3" ht="15.75" customHeight="1" x14ac:dyDescent="0.25">
      <c r="A1" s="1" t="s">
        <v>34</v>
      </c>
      <c r="B1" s="1" t="s">
        <v>35</v>
      </c>
      <c r="C1" s="1" t="s">
        <v>36</v>
      </c>
    </row>
    <row r="2" spans="1:3" ht="15.75" customHeight="1" x14ac:dyDescent="0.25">
      <c r="A2" s="1">
        <f>77.38-38.41</f>
        <v>38.97</v>
      </c>
      <c r="B2" s="1">
        <v>23</v>
      </c>
      <c r="C2" s="2">
        <f>A2/B2</f>
        <v>1.6943478260869564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7"/>
  <sheetViews>
    <sheetView workbookViewId="0"/>
  </sheetViews>
  <sheetFormatPr baseColWidth="10" defaultColWidth="12.6328125" defaultRowHeight="15.75" customHeight="1" x14ac:dyDescent="0.25"/>
  <cols>
    <col min="1" max="1" width="15.90625" customWidth="1"/>
  </cols>
  <sheetData>
    <row r="1" spans="1:7" ht="15.75" customHeight="1" x14ac:dyDescent="0.25">
      <c r="E1" s="1" t="s">
        <v>37</v>
      </c>
    </row>
    <row r="2" spans="1:7" ht="15.75" customHeight="1" x14ac:dyDescent="0.25">
      <c r="A2" s="1" t="s">
        <v>38</v>
      </c>
      <c r="B2" s="1" t="s">
        <v>39</v>
      </c>
      <c r="E2" s="1" t="s">
        <v>40</v>
      </c>
      <c r="F2" s="1" t="s">
        <v>41</v>
      </c>
      <c r="G2" s="1" t="s">
        <v>42</v>
      </c>
    </row>
    <row r="3" spans="1:7" ht="15.75" customHeight="1" x14ac:dyDescent="0.25">
      <c r="A3" s="1" t="s">
        <v>43</v>
      </c>
      <c r="B3" s="1" t="s">
        <v>44</v>
      </c>
      <c r="E3" s="1" t="s">
        <v>45</v>
      </c>
      <c r="F3" s="1" t="s">
        <v>46</v>
      </c>
      <c r="G3" s="1" t="s">
        <v>47</v>
      </c>
    </row>
    <row r="4" spans="1:7" ht="15.75" customHeight="1" x14ac:dyDescent="0.25">
      <c r="A4" s="1" t="s">
        <v>48</v>
      </c>
      <c r="B4" s="1" t="s">
        <v>49</v>
      </c>
      <c r="F4" s="1" t="s">
        <v>50</v>
      </c>
    </row>
    <row r="5" spans="1:7" ht="15.75" customHeight="1" x14ac:dyDescent="0.25">
      <c r="A5" s="1" t="s">
        <v>51</v>
      </c>
      <c r="B5" s="1" t="s">
        <v>52</v>
      </c>
    </row>
    <row r="6" spans="1:7" ht="15.75" customHeight="1" x14ac:dyDescent="0.25">
      <c r="A6" s="1" t="s">
        <v>53</v>
      </c>
      <c r="B6" s="1" t="s">
        <v>52</v>
      </c>
    </row>
    <row r="7" spans="1:7" ht="15.75" customHeight="1" x14ac:dyDescent="0.25">
      <c r="A7" s="1" t="s">
        <v>54</v>
      </c>
      <c r="B7" s="1" t="s">
        <v>55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8"/>
  <sheetViews>
    <sheetView workbookViewId="0"/>
  </sheetViews>
  <sheetFormatPr baseColWidth="10" defaultColWidth="12.6328125" defaultRowHeight="15.75" customHeight="1" x14ac:dyDescent="0.25"/>
  <cols>
    <col min="1" max="1" width="15.7265625" customWidth="1"/>
    <col min="4" max="4" width="21.7265625" customWidth="1"/>
  </cols>
  <sheetData>
    <row r="1" spans="1:4" ht="15.75" customHeight="1" x14ac:dyDescent="0.25">
      <c r="B1" s="1" t="s">
        <v>35</v>
      </c>
      <c r="C1" s="1" t="s">
        <v>34</v>
      </c>
      <c r="D1" s="1" t="s">
        <v>56</v>
      </c>
    </row>
    <row r="2" spans="1:4" ht="15.75" customHeight="1" x14ac:dyDescent="0.25">
      <c r="A2" s="1" t="s">
        <v>57</v>
      </c>
      <c r="B2" s="1">
        <v>5</v>
      </c>
      <c r="C2" s="1">
        <v>27.93</v>
      </c>
      <c r="D2" s="2">
        <f t="shared" ref="D2:D4" si="0">C2/B2</f>
        <v>5.5860000000000003</v>
      </c>
    </row>
    <row r="3" spans="1:4" ht="15.75" customHeight="1" x14ac:dyDescent="0.25">
      <c r="B3" s="1">
        <v>5</v>
      </c>
      <c r="C3" s="1">
        <v>27.83</v>
      </c>
      <c r="D3" s="2">
        <f t="shared" si="0"/>
        <v>5.5659999999999998</v>
      </c>
    </row>
    <row r="4" spans="1:4" ht="15.75" customHeight="1" x14ac:dyDescent="0.25">
      <c r="B4" s="1">
        <v>5</v>
      </c>
      <c r="C4" s="1">
        <v>28.02</v>
      </c>
      <c r="D4" s="2">
        <f t="shared" si="0"/>
        <v>5.6040000000000001</v>
      </c>
    </row>
    <row r="6" spans="1:4" ht="15.75" customHeight="1" x14ac:dyDescent="0.25">
      <c r="A6" s="1" t="s">
        <v>58</v>
      </c>
      <c r="B6" s="1">
        <v>4</v>
      </c>
      <c r="C6" s="2">
        <f>32.64-1.73</f>
        <v>30.91</v>
      </c>
      <c r="D6" s="2">
        <f t="shared" ref="D6:D8" si="1">C6/B6</f>
        <v>7.7275</v>
      </c>
    </row>
    <row r="7" spans="1:4" ht="15.75" customHeight="1" x14ac:dyDescent="0.25">
      <c r="B7" s="1">
        <v>4</v>
      </c>
      <c r="C7" s="1">
        <v>31.12</v>
      </c>
      <c r="D7" s="2">
        <f t="shared" si="1"/>
        <v>7.78</v>
      </c>
    </row>
    <row r="8" spans="1:4" ht="15.75" customHeight="1" x14ac:dyDescent="0.25">
      <c r="B8" s="1">
        <v>5</v>
      </c>
      <c r="C8" s="1">
        <v>39.590000000000003</v>
      </c>
      <c r="D8" s="2">
        <f t="shared" si="1"/>
        <v>7.918000000000001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9"/>
  <sheetViews>
    <sheetView workbookViewId="0"/>
  </sheetViews>
  <sheetFormatPr baseColWidth="10" defaultColWidth="12.6328125" defaultRowHeight="15.75" customHeight="1" x14ac:dyDescent="0.25"/>
  <sheetData>
    <row r="1" spans="1:2" ht="15.75" customHeight="1" x14ac:dyDescent="0.25">
      <c r="A1" s="1" t="s">
        <v>59</v>
      </c>
      <c r="B1" s="1">
        <v>59</v>
      </c>
    </row>
    <row r="2" spans="1:2" ht="15.75" customHeight="1" x14ac:dyDescent="0.25">
      <c r="A2" s="1" t="s">
        <v>60</v>
      </c>
      <c r="B2" s="1" t="s">
        <v>61</v>
      </c>
    </row>
    <row r="4" spans="1:2" ht="15.75" customHeight="1" x14ac:dyDescent="0.25">
      <c r="A4" s="1" t="s">
        <v>62</v>
      </c>
      <c r="B4" s="1">
        <v>83</v>
      </c>
    </row>
    <row r="5" spans="1:2" ht="15.75" customHeight="1" x14ac:dyDescent="0.25">
      <c r="A5" s="1" t="s">
        <v>63</v>
      </c>
      <c r="B5" s="1" t="s">
        <v>64</v>
      </c>
    </row>
    <row r="6" spans="1:2" ht="15.75" customHeight="1" x14ac:dyDescent="0.25">
      <c r="A6" s="1" t="s">
        <v>65</v>
      </c>
      <c r="B6" s="1" t="s">
        <v>66</v>
      </c>
    </row>
    <row r="7" spans="1:2" ht="15.75" customHeight="1" x14ac:dyDescent="0.25">
      <c r="A7" s="1" t="s">
        <v>67</v>
      </c>
      <c r="B7" s="1">
        <v>183</v>
      </c>
    </row>
    <row r="8" spans="1:2" ht="15.75" customHeight="1" x14ac:dyDescent="0.25">
      <c r="A8" s="1" t="s">
        <v>68</v>
      </c>
      <c r="B8" s="1" t="s">
        <v>69</v>
      </c>
    </row>
    <row r="9" spans="1:2" ht="15.75" customHeight="1" x14ac:dyDescent="0.25">
      <c r="A9" s="1" t="s">
        <v>70</v>
      </c>
      <c r="B9" s="1" t="s">
        <v>71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4.1.1</vt:lpstr>
      <vt:lpstr>4.1.2</vt:lpstr>
      <vt:lpstr>4.1.3</vt:lpstr>
      <vt:lpstr>4.2.4</vt:lpstr>
      <vt:lpstr>4.2.5</vt:lpstr>
      <vt:lpstr>4.2.6</vt:lpstr>
      <vt:lpstr>4.2.7</vt:lpstr>
      <vt:lpstr>4.2.9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Richter</dc:creator>
  <cp:lastModifiedBy>Sebastian Richter</cp:lastModifiedBy>
  <dcterms:created xsi:type="dcterms:W3CDTF">2026-05-05T14:36:44Z</dcterms:created>
  <dcterms:modified xsi:type="dcterms:W3CDTF">2026-05-05T14:36:44Z</dcterms:modified>
</cp:coreProperties>
</file>